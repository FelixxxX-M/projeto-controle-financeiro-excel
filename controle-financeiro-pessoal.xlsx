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thew\Desktop\"/>
    </mc:Choice>
  </mc:AlternateContent>
  <xr:revisionPtr revIDLastSave="0" documentId="8_{AF1D19BE-ABF7-4B00-A2D1-CB788EDC3C8F}" xr6:coauthVersionLast="47" xr6:coauthVersionMax="47" xr10:uidLastSave="{00000000-0000-0000-0000-000000000000}"/>
  <bookViews>
    <workbookView xWindow="-120" yWindow="-120" windowWidth="29040" windowHeight="15720" xr2:uid="{FADFA543-B9B1-4F53-ABE3-230D0D8BC7AB}"/>
  </bookViews>
  <sheets>
    <sheet name="movimentaçõ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17" i="1" l="1"/>
  <c r="H14" i="1"/>
  <c r="G20" i="1"/>
  <c r="G19" i="1"/>
  <c r="G18" i="1"/>
  <c r="G17" i="1"/>
  <c r="G16" i="1"/>
  <c r="G15" i="1"/>
  <c r="G14" i="1"/>
  <c r="I5" i="1" a="1"/>
  <c r="I5" i="1" s="1"/>
  <c r="H6" i="1" l="1"/>
  <c r="H7" i="1"/>
  <c r="H8" i="1"/>
  <c r="H9" i="1"/>
  <c r="H10" i="1"/>
  <c r="H11" i="1"/>
  <c r="G5" i="1" a="1"/>
  <c r="G5" i="1" s="1"/>
  <c r="H5" i="1"/>
  <c r="B17" i="1"/>
  <c r="D14" i="1"/>
  <c r="C14" i="1"/>
  <c r="B14" i="1"/>
  <c r="A1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<sst xmlns="http://schemas.openxmlformats.org/spreadsheetml/2006/main" count="39" uniqueCount="31">
  <si>
    <t>Data</t>
  </si>
  <si>
    <t>Descrição</t>
  </si>
  <si>
    <t>Categoria</t>
  </si>
  <si>
    <t>Tipo</t>
  </si>
  <si>
    <t>Valor</t>
  </si>
  <si>
    <t>Salário</t>
  </si>
  <si>
    <t>Trabalho</t>
  </si>
  <si>
    <t>Receita</t>
  </si>
  <si>
    <t>Supermercado</t>
  </si>
  <si>
    <t>Alimentação</t>
  </si>
  <si>
    <t>Despesa</t>
  </si>
  <si>
    <t>Internet</t>
  </si>
  <si>
    <t>Moradia</t>
  </si>
  <si>
    <t>Freelance</t>
  </si>
  <si>
    <t>Transporte</t>
  </si>
  <si>
    <t>Academia</t>
  </si>
  <si>
    <t>Saúde</t>
  </si>
  <si>
    <t>Restaurante</t>
  </si>
  <si>
    <t>total de movimentações</t>
  </si>
  <si>
    <t>total de receitas</t>
  </si>
  <si>
    <t>total de despesas</t>
  </si>
  <si>
    <t>saldo final</t>
  </si>
  <si>
    <t>meta de gastos</t>
  </si>
  <si>
    <t>diferança para a meta</t>
  </si>
  <si>
    <t>Categoria em maiúsculas</t>
  </si>
  <si>
    <t>Categoria em minúsculas</t>
  </si>
  <si>
    <t>Começando com maiúsculo</t>
  </si>
  <si>
    <t>Concatenar</t>
  </si>
  <si>
    <t>data e hora da consulta</t>
  </si>
  <si>
    <t>Posição da palavra</t>
  </si>
  <si>
    <t>CONTROLE FINANCEIRO PESSOAL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</si>
</sst>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9" formatCode="&quot;R$&quot;\ #,##0.00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4"/>
      <color theme="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169" fontId="0" fillId="0" borderId="0" xfId="0" applyNumberFormat="1" applyBorder="1" applyAlignment="1">
      <alignment horizontal="center" vertical="center" wrapText="1"/>
    </xf>
    <xf numFmtId="0" fontId="0" fillId="0" borderId="0" xfId="0" applyAlignment="1">
      <alignment horizontal="center"/>
    </xf>
    <xf numFmtId="14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169" fontId="0" fillId="2" borderId="1" xfId="0" applyNumberFormat="1" applyFill="1" applyBorder="1" applyAlignment="1">
      <alignment horizontal="center" vertical="center" wrapText="1"/>
    </xf>
    <xf numFmtId="169" fontId="0" fillId="3" borderId="1" xfId="0" applyNumberFormat="1" applyFill="1" applyBorder="1" applyAlignment="1">
      <alignment horizontal="center"/>
    </xf>
    <xf numFmtId="169" fontId="2" fillId="3" borderId="1" xfId="0" applyNumberFormat="1" applyFont="1" applyFill="1" applyBorder="1" applyAlignment="1">
      <alignment horizontal="center"/>
    </xf>
    <xf numFmtId="169" fontId="3" fillId="3" borderId="1" xfId="0" applyNumberFormat="1" applyFont="1" applyFill="1" applyBorder="1" applyAlignment="1">
      <alignment horizontal="center"/>
    </xf>
    <xf numFmtId="169" fontId="4" fillId="3" borderId="1" xfId="0" applyNumberFormat="1" applyFont="1" applyFill="1" applyBorder="1" applyAlignment="1">
      <alignment horizontal="center"/>
    </xf>
    <xf numFmtId="14" fontId="1" fillId="4" borderId="0" xfId="0" applyNumberFormat="1" applyFont="1" applyFill="1" applyBorder="1" applyAlignment="1">
      <alignment horizontal="center" vertical="center" wrapText="1"/>
    </xf>
    <xf numFmtId="0" fontId="1" fillId="4" borderId="0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/>
    </xf>
    <xf numFmtId="22" fontId="0" fillId="2" borderId="1" xfId="0" applyNumberFormat="1" applyFill="1" applyBorder="1" applyAlignment="1">
      <alignment horizontal="center"/>
    </xf>
    <xf numFmtId="0" fontId="1" fillId="4" borderId="0" xfId="0" applyFont="1" applyFill="1" applyAlignment="1">
      <alignment horizontal="center" vertical="center"/>
    </xf>
  </cellXfs>
  <cellStyles count="1">
    <cellStyle name="Normal" xfId="0" builtinId="0"/>
  </cellStyles>
  <dxfs count="1">
    <dxf>
      <font>
        <color rgb="FFC0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53037-7A32-45F2-8790-2F1725AE6013}">
  <dimension ref="A1:I20"/>
  <sheetViews>
    <sheetView showGridLines="0" tabSelected="1" workbookViewId="0">
      <selection activeCell="M25" sqref="M25"/>
    </sheetView>
  </sheetViews>
  <sheetFormatPr defaultRowHeight="15" x14ac:dyDescent="0.25"/>
  <cols>
    <col min="1" max="1" width="22.85546875" bestFit="1" customWidth="1"/>
    <col min="2" max="2" width="26.5703125" customWidth="1"/>
    <col min="3" max="3" width="18.42578125" customWidth="1"/>
    <col min="4" max="4" width="14.85546875" customWidth="1"/>
    <col min="5" max="5" width="10.7109375" bestFit="1" customWidth="1"/>
    <col min="7" max="7" width="34.7109375" customWidth="1"/>
    <col min="8" max="8" width="29.28515625" customWidth="1"/>
    <col min="9" max="9" width="29.85546875" customWidth="1"/>
  </cols>
  <sheetData>
    <row r="1" spans="1:9" ht="30" customHeight="1" x14ac:dyDescent="0.25">
      <c r="A1" s="14" t="s">
        <v>30</v>
      </c>
      <c r="B1" s="14"/>
      <c r="C1" s="14"/>
      <c r="D1" s="14"/>
      <c r="E1" s="14"/>
      <c r="F1" s="14"/>
      <c r="G1" s="14"/>
      <c r="H1" s="14"/>
      <c r="I1" s="14"/>
    </row>
    <row r="2" spans="1:9" ht="10.5" customHeight="1" x14ac:dyDescent="0.25">
      <c r="A2" s="14"/>
      <c r="B2" s="14"/>
      <c r="C2" s="14"/>
      <c r="D2" s="14"/>
      <c r="E2" s="14"/>
      <c r="F2" s="14"/>
      <c r="G2" s="14"/>
      <c r="H2" s="14"/>
      <c r="I2" s="14"/>
    </row>
    <row r="4" spans="1:9" x14ac:dyDescent="0.25">
      <c r="A4" s="10" t="s">
        <v>0</v>
      </c>
      <c r="B4" s="11" t="s">
        <v>1</v>
      </c>
      <c r="C4" s="11" t="s">
        <v>2</v>
      </c>
      <c r="D4" s="11" t="s">
        <v>3</v>
      </c>
      <c r="E4" s="11" t="s">
        <v>4</v>
      </c>
      <c r="G4" s="11" t="s">
        <v>24</v>
      </c>
      <c r="H4" s="11" t="s">
        <v>25</v>
      </c>
      <c r="I4" s="11" t="s">
        <v>26</v>
      </c>
    </row>
    <row r="5" spans="1:9" x14ac:dyDescent="0.25">
      <c r="A5" s="3">
        <v>46296</v>
      </c>
      <c r="B5" s="4" t="s">
        <v>5</v>
      </c>
      <c r="C5" s="4" t="s">
        <v>6</v>
      </c>
      <c r="D5" s="4" t="s">
        <v>7</v>
      </c>
      <c r="E5" s="5">
        <v>2500</v>
      </c>
      <c r="G5" s="12" t="str" cm="1">
        <f t="array" ref="G5:G11">UPPER(C5:C11)</f>
        <v>TRABALHO</v>
      </c>
      <c r="H5" s="12" t="str">
        <f>LOWER(C5)</f>
        <v>trabalho</v>
      </c>
      <c r="I5" s="12" t="str" cm="1">
        <f t="array" ref="I5:I11">PROPER(C5:C11)</f>
        <v>Trabalho</v>
      </c>
    </row>
    <row r="6" spans="1:9" x14ac:dyDescent="0.25">
      <c r="A6" s="3">
        <v>46298</v>
      </c>
      <c r="B6" s="4" t="s">
        <v>8</v>
      </c>
      <c r="C6" s="4" t="s">
        <v>9</v>
      </c>
      <c r="D6" s="4" t="s">
        <v>10</v>
      </c>
      <c r="E6" s="5">
        <v>250</v>
      </c>
      <c r="G6" s="12" t="str">
        <v>ALIMENTAÇÃO</v>
      </c>
      <c r="H6" s="12" t="str">
        <f t="shared" ref="H6:H11" si="0">LOWER(C6)</f>
        <v>alimentação</v>
      </c>
      <c r="I6" s="12" t="str">
        <v>Alimentação</v>
      </c>
    </row>
    <row r="7" spans="1:9" x14ac:dyDescent="0.25">
      <c r="A7" s="3">
        <v>46300</v>
      </c>
      <c r="B7" s="4" t="s">
        <v>11</v>
      </c>
      <c r="C7" s="4" t="s">
        <v>12</v>
      </c>
      <c r="D7" s="4" t="s">
        <v>10</v>
      </c>
      <c r="E7" s="5">
        <v>100</v>
      </c>
      <c r="G7" s="12" t="str">
        <v>MORADIA</v>
      </c>
      <c r="H7" s="12" t="str">
        <f t="shared" si="0"/>
        <v>moradia</v>
      </c>
      <c r="I7" s="12" t="str">
        <v>Moradia</v>
      </c>
    </row>
    <row r="8" spans="1:9" x14ac:dyDescent="0.25">
      <c r="A8" s="3">
        <v>46305</v>
      </c>
      <c r="B8" s="4" t="s">
        <v>13</v>
      </c>
      <c r="C8" s="4" t="s">
        <v>6</v>
      </c>
      <c r="D8" s="4" t="s">
        <v>7</v>
      </c>
      <c r="E8" s="5">
        <v>400</v>
      </c>
      <c r="G8" s="12" t="str">
        <v>TRABALHO</v>
      </c>
      <c r="H8" s="12" t="str">
        <f t="shared" si="0"/>
        <v>trabalho</v>
      </c>
      <c r="I8" s="12" t="str">
        <v>Trabalho</v>
      </c>
    </row>
    <row r="9" spans="1:9" x14ac:dyDescent="0.25">
      <c r="A9" s="3">
        <v>46307</v>
      </c>
      <c r="B9" s="4" t="s">
        <v>14</v>
      </c>
      <c r="C9" s="4" t="s">
        <v>14</v>
      </c>
      <c r="D9" s="4" t="s">
        <v>10</v>
      </c>
      <c r="E9" s="5">
        <v>80</v>
      </c>
      <c r="G9" s="12" t="str">
        <v>TRANSPORTE</v>
      </c>
      <c r="H9" s="12" t="str">
        <f t="shared" si="0"/>
        <v>transporte</v>
      </c>
      <c r="I9" s="12" t="str">
        <v>Transporte</v>
      </c>
    </row>
    <row r="10" spans="1:9" x14ac:dyDescent="0.25">
      <c r="A10" s="3">
        <v>46310</v>
      </c>
      <c r="B10" s="4" t="s">
        <v>15</v>
      </c>
      <c r="C10" s="4" t="s">
        <v>16</v>
      </c>
      <c r="D10" s="4" t="s">
        <v>10</v>
      </c>
      <c r="E10" s="5">
        <v>90</v>
      </c>
      <c r="G10" s="12" t="str">
        <v>SAÚDE</v>
      </c>
      <c r="H10" s="12" t="str">
        <f t="shared" si="0"/>
        <v>saúde</v>
      </c>
      <c r="I10" s="12" t="str">
        <v>Saúde</v>
      </c>
    </row>
    <row r="11" spans="1:9" x14ac:dyDescent="0.25">
      <c r="A11" s="3">
        <v>46315</v>
      </c>
      <c r="B11" s="4" t="s">
        <v>17</v>
      </c>
      <c r="C11" s="4" t="s">
        <v>9</v>
      </c>
      <c r="D11" s="4" t="s">
        <v>10</v>
      </c>
      <c r="E11" s="5">
        <v>70</v>
      </c>
      <c r="G11" s="12" t="str">
        <v>ALIMENTAÇÃO</v>
      </c>
      <c r="H11" s="12" t="str">
        <f t="shared" si="0"/>
        <v>alimentação</v>
      </c>
      <c r="I11" s="12" t="str">
        <v>Alimentação</v>
      </c>
    </row>
    <row r="12" spans="1:9" x14ac:dyDescent="0.25">
      <c r="A12" s="2"/>
      <c r="B12" s="2"/>
      <c r="C12" s="2"/>
      <c r="D12" s="2"/>
      <c r="G12" s="2"/>
      <c r="H12" s="2"/>
      <c r="I12" s="2"/>
    </row>
    <row r="13" spans="1:9" x14ac:dyDescent="0.25">
      <c r="A13" s="10" t="s">
        <v>18</v>
      </c>
      <c r="B13" s="11" t="s">
        <v>19</v>
      </c>
      <c r="C13" s="11" t="s">
        <v>20</v>
      </c>
      <c r="D13" s="11" t="s">
        <v>21</v>
      </c>
      <c r="E13" s="1"/>
      <c r="G13" s="11" t="s">
        <v>27</v>
      </c>
      <c r="H13" s="11" t="s">
        <v>28</v>
      </c>
      <c r="I13" s="2"/>
    </row>
    <row r="14" spans="1:9" ht="18.75" x14ac:dyDescent="0.3">
      <c r="A14" s="6">
        <f>SUM(E5:E11)</f>
        <v>3490</v>
      </c>
      <c r="B14" s="7">
        <f>SUM(E5,E8)</f>
        <v>2900</v>
      </c>
      <c r="C14" s="8">
        <f>SUM(E6,E7,E9,E10,E11)</f>
        <v>590</v>
      </c>
      <c r="D14" s="9">
        <f>B14-C14</f>
        <v>2310</v>
      </c>
      <c r="G14" s="12" t="str">
        <f>_xlfn.CONCAT(B5, " e ",C5)</f>
        <v>Salário e Trabalho</v>
      </c>
      <c r="H14" s="13">
        <f ca="1">NOW()</f>
        <v>46323.710116550923</v>
      </c>
      <c r="I14" s="2"/>
    </row>
    <row r="15" spans="1:9" x14ac:dyDescent="0.25">
      <c r="G15" s="12" t="str">
        <f t="shared" ref="G15:G20" si="1">_xlfn.CONCAT(B6, " e ",C6)</f>
        <v>Supermercado e Alimentação</v>
      </c>
      <c r="H15" s="2"/>
      <c r="I15" s="2"/>
    </row>
    <row r="16" spans="1:9" x14ac:dyDescent="0.25">
      <c r="A16" s="10" t="s">
        <v>22</v>
      </c>
      <c r="B16" s="11" t="s">
        <v>23</v>
      </c>
      <c r="E16" s="1"/>
      <c r="G16" s="12" t="str">
        <f t="shared" si="1"/>
        <v>Internet e Moradia</v>
      </c>
      <c r="H16" s="11" t="s">
        <v>29</v>
      </c>
      <c r="I16" s="2"/>
    </row>
    <row r="17" spans="1:9" x14ac:dyDescent="0.25">
      <c r="A17" s="6">
        <v>500</v>
      </c>
      <c r="B17" s="8">
        <f>$A$17-C14</f>
        <v>-90</v>
      </c>
      <c r="G17" s="12" t="str">
        <f t="shared" si="1"/>
        <v>Freelance e Trabalho</v>
      </c>
      <c r="H17" s="12">
        <f>SEARCH("mercado",B6)</f>
        <v>6</v>
      </c>
      <c r="I17" s="2"/>
    </row>
    <row r="18" spans="1:9" x14ac:dyDescent="0.25">
      <c r="G18" s="12" t="str">
        <f t="shared" si="1"/>
        <v>Transporte e Transporte</v>
      </c>
      <c r="H18" s="2"/>
      <c r="I18" s="2"/>
    </row>
    <row r="19" spans="1:9" x14ac:dyDescent="0.25">
      <c r="G19" s="12" t="str">
        <f t="shared" si="1"/>
        <v>Academia e Saúde</v>
      </c>
      <c r="H19" s="2"/>
      <c r="I19" s="2"/>
    </row>
    <row r="20" spans="1:9" x14ac:dyDescent="0.25">
      <c r="G20" s="12" t="str">
        <f t="shared" si="1"/>
        <v>Restaurante e Alimentação</v>
      </c>
      <c r="H20" s="2"/>
      <c r="I20" s="2"/>
    </row>
  </sheetData>
  <mergeCells count="1">
    <mergeCell ref="A1:I2"/>
  </mergeCells>
  <conditionalFormatting sqref="F9">
    <cfRule type="containsText" dxfId="0" priority="1" operator="containsText" text="despesa">
      <formula>NOT(ISERROR(SEARCH("despesa",F9)))</formula>
    </cfRule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movimentações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mathew felix</dc:creator>
  <cp:lastModifiedBy>mathew felix</cp:lastModifiedBy>
  <dcterms:created xsi:type="dcterms:W3CDTF">2026-10-28T18:41:13Z</dcterms:created>
  <dcterms:modified xsi:type="dcterms:W3CDTF">2026-10-28T20:06:17Z</dcterms:modified>
</cp:coreProperties>
</file>